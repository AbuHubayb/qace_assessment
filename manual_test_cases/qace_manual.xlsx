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Add to Cart" sheetId="2" r:id="rId6"/>
    <sheet state="visible" name="Remove from cart" sheetId="3" r:id="rId7"/>
    <sheet state="visible" name="Checkout" sheetId="4" r:id="rId8"/>
  </sheets>
  <definedNames/>
  <calcPr/>
</workbook>
</file>

<file path=xl/sharedStrings.xml><?xml version="1.0" encoding="utf-8"?>
<sst xmlns="http://schemas.openxmlformats.org/spreadsheetml/2006/main" count="335" uniqueCount="176">
  <si>
    <t>Passed</t>
  </si>
  <si>
    <t>Failed</t>
  </si>
  <si>
    <t>Not Tested</t>
  </si>
  <si>
    <t>Test Case ID</t>
  </si>
  <si>
    <t>Feature</t>
  </si>
  <si>
    <t>Test Scenario</t>
  </si>
  <si>
    <t>Preconditions</t>
  </si>
  <si>
    <t>Test Steps</t>
  </si>
  <si>
    <t>Test Data</t>
  </si>
  <si>
    <t>Priority</t>
  </si>
  <si>
    <t>Type</t>
  </si>
  <si>
    <t>Expected Result</t>
  </si>
  <si>
    <t>Actual Result</t>
  </si>
  <si>
    <t>TC_LOGIN_001</t>
  </si>
  <si>
    <t>Login</t>
  </si>
  <si>
    <t>Login with valid standard user</t>
  </si>
  <si>
    <t>User on login page</t>
  </si>
  <si>
    <t>1. Enter username
2. Enter password
3. Click Login</t>
  </si>
  <si>
    <t>standard_user / secret_sauce</t>
  </si>
  <si>
    <t>High</t>
  </si>
  <si>
    <t>Positive</t>
  </si>
  <si>
    <t>User redirected to inventory page</t>
  </si>
  <si>
    <t>TC_LOGIN_002</t>
  </si>
  <si>
    <t>Login with locked out user</t>
  </si>
  <si>
    <t>Enter locked_out_user + valid password</t>
  </si>
  <si>
    <t>locked_out_user / secret_sauce</t>
  </si>
  <si>
    <t>Negative</t>
  </si>
  <si>
    <t>Error message displayed: user locked out</t>
  </si>
  <si>
    <t>TC_LOGIN_003</t>
  </si>
  <si>
    <t>Invalid password</t>
  </si>
  <si>
    <t>Enter valid username + wrong password</t>
  </si>
  <si>
    <t>standard_user / wrong_pass</t>
  </si>
  <si>
    <t>Error message displayed</t>
  </si>
  <si>
    <t>TC_LOGIN_004</t>
  </si>
  <si>
    <t>Empty username</t>
  </si>
  <si>
    <t>Leave username blank, enter password</t>
  </si>
  <si>
    <t>(blank) / secret_sauce</t>
  </si>
  <si>
    <t>TC_LOGIN_005</t>
  </si>
  <si>
    <t>Empty password</t>
  </si>
  <si>
    <t>Enter username, leave password blank</t>
  </si>
  <si>
    <t>standard_user / (blank)</t>
  </si>
  <si>
    <t>TC_LOGIN_006</t>
  </si>
  <si>
    <t>Both fields empty</t>
  </si>
  <si>
    <t>Click login without entering credentials</t>
  </si>
  <si>
    <t>(blank)</t>
  </si>
  <si>
    <t>TC_LOGIN_007</t>
  </si>
  <si>
    <t>Username case sensitivity</t>
  </si>
  <si>
    <t>Enter STANDARD_USER</t>
  </si>
  <si>
    <t>STANDARD_USER / secret_sauce</t>
  </si>
  <si>
    <t>Medium</t>
  </si>
  <si>
    <t>Edge</t>
  </si>
  <si>
    <t>Login fails</t>
  </si>
  <si>
    <t>TC_LOGIN_008</t>
  </si>
  <si>
    <t>Password masking</t>
  </si>
  <si>
    <t>Type password</t>
  </si>
  <si>
    <t>secret_sauce</t>
  </si>
  <si>
    <t>Low</t>
  </si>
  <si>
    <t>UI</t>
  </si>
  <si>
    <t>Password masked with dots</t>
  </si>
  <si>
    <t>TC_LOGIN_009</t>
  </si>
  <si>
    <t>Access inventory without login</t>
  </si>
  <si>
    <t>Browser open</t>
  </si>
  <si>
    <t>Navigate directly to /inventory.html</t>
  </si>
  <si>
    <t>N/A</t>
  </si>
  <si>
    <t>Security</t>
  </si>
  <si>
    <t>Redirected to login page</t>
  </si>
  <si>
    <t>TC_CART_001</t>
  </si>
  <si>
    <t>Add to Cart</t>
  </si>
  <si>
    <t>Add single product</t>
  </si>
  <si>
    <t>Logged in as standard_user</t>
  </si>
  <si>
    <t>Click “Add to Cart” on any product</t>
  </si>
  <si>
    <t>Backpack</t>
  </si>
  <si>
    <t>Cart badge shows 1</t>
  </si>
  <si>
    <t>TC_CART_002</t>
  </si>
  <si>
    <t>Add multiple products</t>
  </si>
  <si>
    <t>Logged in</t>
  </si>
  <si>
    <t>Add 3 different products</t>
  </si>
  <si>
    <t>Any 3 products</t>
  </si>
  <si>
    <t>Cart badge shows 3</t>
  </si>
  <si>
    <t>TC_CART_003</t>
  </si>
  <si>
    <t>Add all products</t>
  </si>
  <si>
    <t>Click add on all products</t>
  </si>
  <si>
    <t>All products</t>
  </si>
  <si>
    <t>Cart count matches total products</t>
  </si>
  <si>
    <t>TC_CART_004</t>
  </si>
  <si>
    <t>Button changes to Remove</t>
  </si>
  <si>
    <t>Click Add to Cart</t>
  </si>
  <si>
    <t>Any product</t>
  </si>
  <si>
    <t>Button changes to “Remove”</t>
  </si>
  <si>
    <t>TC_CART_005</t>
  </si>
  <si>
    <t>Rapid multiple clicks</t>
  </si>
  <si>
    <t>Double click add button quickly</t>
  </si>
  <si>
    <t>Product added once only</t>
  </si>
  <si>
    <t>TC_CART_006</t>
  </si>
  <si>
    <t>Add same product twice</t>
  </si>
  <si>
    <t>Click add again after already added</t>
  </si>
  <si>
    <t>Same product</t>
  </si>
  <si>
    <t>No duplicate entry</t>
  </si>
  <si>
    <t>TC_CART_007</t>
  </si>
  <si>
    <t>Cart persists after refresh</t>
  </si>
  <si>
    <t>Add item → Refresh page</t>
  </si>
  <si>
    <t>Item remains in cart</t>
  </si>
  <si>
    <t>TC_REMOVE_001</t>
  </si>
  <si>
    <t>Remove</t>
  </si>
  <si>
    <t>Remove single product</t>
  </si>
  <si>
    <t>Product already in cart</t>
  </si>
  <si>
    <t>Click Remove</t>
  </si>
  <si>
    <t>Product removed, count decreases</t>
  </si>
  <si>
    <t>TC_REMOVE_002</t>
  </si>
  <si>
    <t>Remove from cart page</t>
  </si>
  <si>
    <t>Product in cart</t>
  </si>
  <si>
    <t>Go to cart → Click Remove</t>
  </si>
  <si>
    <t>Item removed from cart</t>
  </si>
  <si>
    <t>TC_REMOVE_003</t>
  </si>
  <si>
    <t>Remove all products</t>
  </si>
  <si>
    <t>Multiple products added</t>
  </si>
  <si>
    <t>Remove one by one</t>
  </si>
  <si>
    <t>Multiple items</t>
  </si>
  <si>
    <t>Cart badge disappears</t>
  </si>
  <si>
    <t>TC_REMOVE_004</t>
  </si>
  <si>
    <t>Remove after refresh</t>
  </si>
  <si>
    <t>Product added</t>
  </si>
  <si>
    <t>Refresh → Remove</t>
  </si>
  <si>
    <t>Product removed successfully</t>
  </si>
  <si>
    <t>TC_REMOVE_005</t>
  </si>
  <si>
    <t>Remove during checkout</t>
  </si>
  <si>
    <t>Start checkout → Cancel → Remove item</t>
  </si>
  <si>
    <t>Item removed</t>
  </si>
  <si>
    <t>TC_CHECKOUT_001</t>
  </si>
  <si>
    <t>Checkout</t>
  </si>
  <si>
    <t>Complete checkout with single item</t>
  </si>
  <si>
    <t>Item in cart</t>
  </si>
  <si>
    <t>Go to cart → Checkout → Fill details → Finish</t>
  </si>
  <si>
    <t>Valid details</t>
  </si>
  <si>
    <t>Order success message displayed</t>
  </si>
  <si>
    <t>TC_CHECKOUT_002</t>
  </si>
  <si>
    <t>Complete checkout with multiple items</t>
  </si>
  <si>
    <t>Multiple items added</t>
  </si>
  <si>
    <t>Complete checkout steps</t>
  </si>
  <si>
    <t>Order completed successfully</t>
  </si>
  <si>
    <t>TC_CHECKOUT_003</t>
  </si>
  <si>
    <t>Empty first name</t>
  </si>
  <si>
    <t>Leave First Name blank</t>
  </si>
  <si>
    <t>Blank First Name</t>
  </si>
  <si>
    <t>TC_CHECKOUT_004</t>
  </si>
  <si>
    <t>Empty last name</t>
  </si>
  <si>
    <t>Leave Last Name blank</t>
  </si>
  <si>
    <t>Blank Last Name</t>
  </si>
  <si>
    <t>TC_CHECKOUT_005</t>
  </si>
  <si>
    <t>Empty postal code</t>
  </si>
  <si>
    <t>Leave Postal Code blank</t>
  </si>
  <si>
    <t>Blank Postal Code</t>
  </si>
  <si>
    <t>TC_CHECKOUT_006</t>
  </si>
  <si>
    <t>All fields empty</t>
  </si>
  <si>
    <t>Click continue without filling form</t>
  </si>
  <si>
    <t>All blank</t>
  </si>
  <si>
    <t>Validation error displayed</t>
  </si>
  <si>
    <t>TC_CHECKOUT_007</t>
  </si>
  <si>
    <t>Verify total calculation</t>
  </si>
  <si>
    <t>Items in cart</t>
  </si>
  <si>
    <t>Go to overview page</t>
  </si>
  <si>
    <t>Functional</t>
  </si>
  <si>
    <t>Item total + tax = final total</t>
  </si>
  <si>
    <t>TC_CHECKOUT_008</t>
  </si>
  <si>
    <t>Access checkout URL directly</t>
  </si>
  <si>
    <t>Not logged in</t>
  </si>
  <si>
    <t>Enter checkout URL</t>
  </si>
  <si>
    <t>TC_CHECKOUT_009</t>
  </si>
  <si>
    <t>Double click Finish</t>
  </si>
  <si>
    <t>On overview page</t>
  </si>
  <si>
    <t>Order processed once only</t>
  </si>
  <si>
    <t>TC_CHECKOUT_010</t>
  </si>
  <si>
    <t>Cancel checkout</t>
  </si>
  <si>
    <t>On checkout page</t>
  </si>
  <si>
    <t>Click Cancel</t>
  </si>
  <si>
    <t>Redirect to inventory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</si>
</sst>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5.0"/>
      <color rgb="FF00FF00"/>
      <name val="Lexend"/>
    </font>
    <font>
      <b/>
      <sz val="35.0"/>
      <color rgb="FF00FF00"/>
      <name val="Lexend"/>
    </font>
    <font/>
    <font>
      <b/>
      <sz val="15.0"/>
      <color rgb="FFFF0000"/>
      <name val="Lexend"/>
    </font>
    <font>
      <b/>
      <sz val="35.0"/>
      <color rgb="FFFF0000"/>
      <name val="Lexend"/>
    </font>
    <font>
      <b/>
      <sz val="15.0"/>
      <color rgb="FFF1C232"/>
      <name val="Lexend"/>
    </font>
    <font>
      <b/>
      <sz val="35.0"/>
      <color rgb="FFF1C232"/>
      <name val="Lexend"/>
    </font>
    <font>
      <b/>
      <color theme="1"/>
      <name val="Lexend"/>
    </font>
    <font>
      <color theme="1"/>
      <name val="Lexend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7">
    <border/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right style="double">
        <color rgb="FF000000"/>
      </right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10" xfId="0" applyAlignment="1" applyBorder="1" applyFont="1" applyNumberFormat="1">
      <alignment horizontal="center"/>
    </xf>
    <xf borderId="3" fillId="0" fontId="3" numFmtId="0" xfId="0" applyBorder="1" applyFont="1"/>
    <xf borderId="1" fillId="2" fontId="4" numFmtId="0" xfId="0" applyAlignment="1" applyBorder="1" applyFont="1">
      <alignment horizontal="center" vertical="center"/>
    </xf>
    <xf borderId="2" fillId="2" fontId="5" numFmtId="10" xfId="0" applyAlignment="1" applyBorder="1" applyFont="1" applyNumberFormat="1">
      <alignment horizontal="center" shrinkToFit="0" wrapText="1"/>
    </xf>
    <xf borderId="1" fillId="2" fontId="6" numFmtId="0" xfId="0" applyAlignment="1" applyBorder="1" applyFont="1">
      <alignment horizontal="center" readingOrder="0" vertical="center"/>
    </xf>
    <xf borderId="2" fillId="2" fontId="7" numFmtId="10" xfId="0" applyAlignment="1" applyBorder="1" applyFont="1" applyNumberFormat="1">
      <alignment horizontal="center" shrinkToFit="0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8" numFmtId="0" xfId="0" applyAlignment="1" applyBorder="1" applyFont="1">
      <alignment horizontal="center" readingOrder="0"/>
    </xf>
    <xf borderId="13" fillId="0" fontId="9" numFmtId="0" xfId="0" applyAlignment="1" applyBorder="1" applyFont="1">
      <alignment readingOrder="0" shrinkToFit="0" vertical="center" wrapText="1"/>
    </xf>
    <xf borderId="14" fillId="0" fontId="9" numFmtId="0" xfId="0" applyAlignment="1" applyBorder="1" applyFont="1">
      <alignment horizontal="center" readingOrder="0" shrinkToFit="0" vertical="center" wrapText="1"/>
    </xf>
    <xf borderId="13" fillId="0" fontId="9" numFmtId="0" xfId="0" applyAlignment="1" applyBorder="1" applyFont="1">
      <alignment horizontal="center" readingOrder="0" shrinkToFit="0" vertical="center" wrapText="1"/>
    </xf>
    <xf borderId="15" fillId="0" fontId="3" numFmtId="0" xfId="0" applyBorder="1" applyFont="1"/>
    <xf borderId="16" fillId="0" fontId="3" numFmtId="0" xfId="0" applyBorder="1" applyFont="1"/>
    <xf borderId="13" fillId="0" fontId="8" numFmtId="0" xfId="0" applyAlignment="1" applyBorder="1" applyFont="1">
      <alignment horizontal="center" readingOrder="0" shrinkToFit="0" wrapText="1"/>
    </xf>
    <xf borderId="13" fillId="0" fontId="9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6.38"/>
    <col customWidth="1" min="3" max="3" width="10.13"/>
    <col customWidth="1" min="4" max="4" width="26.75"/>
    <col customWidth="1" min="5" max="5" width="14.25"/>
    <col customWidth="1" min="6" max="6" width="28.25"/>
    <col customWidth="1" min="7" max="7" width="25.63"/>
    <col customWidth="1" min="8" max="8" width="14.25"/>
    <col customWidth="1" min="10" max="10" width="18.63"/>
    <col customWidth="1" min="11" max="11" width="15.13"/>
  </cols>
  <sheetData>
    <row r="1">
      <c r="B1" s="1" t="s">
        <v>0</v>
      </c>
      <c r="C1" s="2">
        <f>COUNTIF(K6:K1003, "Pass")/counta(B6:B1003)</f>
        <v>0</v>
      </c>
      <c r="D1" s="3"/>
      <c r="E1" s="4" t="s">
        <v>1</v>
      </c>
      <c r="F1" s="5">
        <f>COUNTIF(K6:K1003, "Fail")/counta(B6:B1003)</f>
        <v>0</v>
      </c>
      <c r="G1" s="6" t="s">
        <v>2</v>
      </c>
      <c r="H1" s="7">
        <f>COUNTIF(K6:K1003, "Not Tested")/counta(B6:B1003)</f>
        <v>1</v>
      </c>
      <c r="I1" s="8"/>
    </row>
    <row r="2">
      <c r="B2" s="9"/>
      <c r="C2" s="10"/>
      <c r="D2" s="11"/>
      <c r="E2" s="9"/>
      <c r="F2" s="10"/>
      <c r="G2" s="9"/>
      <c r="H2" s="10"/>
      <c r="I2" s="12"/>
    </row>
    <row r="3">
      <c r="B3" s="13"/>
      <c r="C3" s="14"/>
      <c r="D3" s="15"/>
      <c r="E3" s="13"/>
      <c r="F3" s="14"/>
      <c r="G3" s="13"/>
      <c r="H3" s="14"/>
      <c r="I3" s="16"/>
    </row>
    <row r="5">
      <c r="B5" s="17" t="s">
        <v>3</v>
      </c>
      <c r="C5" s="17" t="s">
        <v>4</v>
      </c>
      <c r="D5" s="17" t="s">
        <v>5</v>
      </c>
      <c r="E5" s="17" t="s">
        <v>6</v>
      </c>
      <c r="F5" s="17" t="s">
        <v>7</v>
      </c>
      <c r="G5" s="17" t="s">
        <v>8</v>
      </c>
      <c r="H5" s="17" t="s">
        <v>9</v>
      </c>
      <c r="I5" s="17" t="s">
        <v>10</v>
      </c>
      <c r="J5" s="17" t="s">
        <v>11</v>
      </c>
      <c r="K5" s="17" t="s">
        <v>12</v>
      </c>
    </row>
    <row r="6">
      <c r="B6" s="18" t="s">
        <v>13</v>
      </c>
      <c r="C6" s="19" t="s">
        <v>14</v>
      </c>
      <c r="D6" s="18" t="s">
        <v>15</v>
      </c>
      <c r="E6" s="18" t="s">
        <v>16</v>
      </c>
      <c r="F6" s="18" t="s">
        <v>17</v>
      </c>
      <c r="G6" s="18" t="s">
        <v>18</v>
      </c>
      <c r="H6" s="20" t="s">
        <v>19</v>
      </c>
      <c r="I6" s="20" t="s">
        <v>20</v>
      </c>
      <c r="J6" s="18" t="s">
        <v>21</v>
      </c>
      <c r="K6" s="20" t="s">
        <v>2</v>
      </c>
    </row>
    <row r="7">
      <c r="B7" s="18" t="s">
        <v>22</v>
      </c>
      <c r="C7" s="21"/>
      <c r="D7" s="18" t="s">
        <v>23</v>
      </c>
      <c r="E7" s="18" t="s">
        <v>16</v>
      </c>
      <c r="F7" s="18" t="s">
        <v>24</v>
      </c>
      <c r="G7" s="18" t="s">
        <v>25</v>
      </c>
      <c r="H7" s="20" t="s">
        <v>19</v>
      </c>
      <c r="I7" s="20" t="s">
        <v>26</v>
      </c>
      <c r="J7" s="18" t="s">
        <v>27</v>
      </c>
      <c r="K7" s="20" t="s">
        <v>2</v>
      </c>
    </row>
    <row r="8">
      <c r="B8" s="18" t="s">
        <v>28</v>
      </c>
      <c r="C8" s="21"/>
      <c r="D8" s="18" t="s">
        <v>29</v>
      </c>
      <c r="E8" s="18" t="s">
        <v>16</v>
      </c>
      <c r="F8" s="18" t="s">
        <v>30</v>
      </c>
      <c r="G8" s="18" t="s">
        <v>31</v>
      </c>
      <c r="H8" s="20" t="s">
        <v>19</v>
      </c>
      <c r="I8" s="20" t="s">
        <v>26</v>
      </c>
      <c r="J8" s="18" t="s">
        <v>32</v>
      </c>
      <c r="K8" s="20" t="s">
        <v>2</v>
      </c>
    </row>
    <row r="9">
      <c r="B9" s="18" t="s">
        <v>33</v>
      </c>
      <c r="C9" s="21"/>
      <c r="D9" s="18" t="s">
        <v>34</v>
      </c>
      <c r="E9" s="18" t="s">
        <v>16</v>
      </c>
      <c r="F9" s="18" t="s">
        <v>35</v>
      </c>
      <c r="G9" s="18" t="s">
        <v>36</v>
      </c>
      <c r="H9" s="20" t="s">
        <v>19</v>
      </c>
      <c r="I9" s="20" t="s">
        <v>26</v>
      </c>
      <c r="J9" s="18" t="s">
        <v>32</v>
      </c>
      <c r="K9" s="20" t="s">
        <v>2</v>
      </c>
    </row>
    <row r="10">
      <c r="B10" s="18" t="s">
        <v>37</v>
      </c>
      <c r="C10" s="21"/>
      <c r="D10" s="18" t="s">
        <v>38</v>
      </c>
      <c r="E10" s="18" t="s">
        <v>16</v>
      </c>
      <c r="F10" s="18" t="s">
        <v>39</v>
      </c>
      <c r="G10" s="18" t="s">
        <v>40</v>
      </c>
      <c r="H10" s="20" t="s">
        <v>19</v>
      </c>
      <c r="I10" s="20" t="s">
        <v>26</v>
      </c>
      <c r="J10" s="18" t="s">
        <v>32</v>
      </c>
      <c r="K10" s="20" t="s">
        <v>2</v>
      </c>
    </row>
    <row r="11">
      <c r="B11" s="18" t="s">
        <v>41</v>
      </c>
      <c r="C11" s="21"/>
      <c r="D11" s="18" t="s">
        <v>42</v>
      </c>
      <c r="E11" s="18" t="s">
        <v>16</v>
      </c>
      <c r="F11" s="18" t="s">
        <v>43</v>
      </c>
      <c r="G11" s="18" t="s">
        <v>44</v>
      </c>
      <c r="H11" s="20" t="s">
        <v>19</v>
      </c>
      <c r="I11" s="20" t="s">
        <v>26</v>
      </c>
      <c r="J11" s="18" t="s">
        <v>32</v>
      </c>
      <c r="K11" s="20" t="s">
        <v>2</v>
      </c>
    </row>
    <row r="12">
      <c r="B12" s="18" t="s">
        <v>45</v>
      </c>
      <c r="C12" s="21"/>
      <c r="D12" s="18" t="s">
        <v>46</v>
      </c>
      <c r="E12" s="18" t="s">
        <v>16</v>
      </c>
      <c r="F12" s="18" t="s">
        <v>47</v>
      </c>
      <c r="G12" s="18" t="s">
        <v>48</v>
      </c>
      <c r="H12" s="20" t="s">
        <v>49</v>
      </c>
      <c r="I12" s="20" t="s">
        <v>50</v>
      </c>
      <c r="J12" s="18" t="s">
        <v>51</v>
      </c>
      <c r="K12" s="20" t="s">
        <v>2</v>
      </c>
    </row>
    <row r="13">
      <c r="B13" s="18" t="s">
        <v>52</v>
      </c>
      <c r="C13" s="21"/>
      <c r="D13" s="18" t="s">
        <v>53</v>
      </c>
      <c r="E13" s="18" t="s">
        <v>16</v>
      </c>
      <c r="F13" s="18" t="s">
        <v>54</v>
      </c>
      <c r="G13" s="18" t="s">
        <v>55</v>
      </c>
      <c r="H13" s="20" t="s">
        <v>56</v>
      </c>
      <c r="I13" s="20" t="s">
        <v>57</v>
      </c>
      <c r="J13" s="18" t="s">
        <v>58</v>
      </c>
      <c r="K13" s="20" t="s">
        <v>2</v>
      </c>
    </row>
    <row r="14">
      <c r="B14" s="18" t="s">
        <v>59</v>
      </c>
      <c r="C14" s="22"/>
      <c r="D14" s="18" t="s">
        <v>60</v>
      </c>
      <c r="E14" s="18" t="s">
        <v>61</v>
      </c>
      <c r="F14" s="18" t="s">
        <v>62</v>
      </c>
      <c r="G14" s="18" t="s">
        <v>63</v>
      </c>
      <c r="H14" s="20" t="s">
        <v>19</v>
      </c>
      <c r="I14" s="20" t="s">
        <v>64</v>
      </c>
      <c r="J14" s="18" t="s">
        <v>65</v>
      </c>
      <c r="K14" s="20" t="s">
        <v>2</v>
      </c>
    </row>
  </sheetData>
  <mergeCells count="7">
    <mergeCell ref="C6:C14"/>
    <mergeCell ref="B1:B3"/>
    <mergeCell ref="E1:E3"/>
    <mergeCell ref="F1:F3"/>
    <mergeCell ref="C1:D3"/>
    <mergeCell ref="G1:G3"/>
    <mergeCell ref="H1:I3"/>
  </mergeCells>
  <dataValidations>
    <dataValidation type="list" allowBlank="1" showErrorMessage="1" sqref="H6:H14">
      <formula1>"High,Low,Medium"</formula1>
    </dataValidation>
    <dataValidation type="list" allowBlank="1" showErrorMessage="1" sqref="K6:K14">
      <formula1>"Pass,Fail,Not Tested"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4" max="4" width="19.88"/>
    <col customWidth="1" min="5" max="5" width="17.13"/>
    <col customWidth="1" min="6" max="6" width="28.13"/>
    <col customWidth="1" min="7" max="7" width="19.38"/>
    <col customWidth="1" min="10" max="10" width="22.63"/>
    <col customWidth="1" min="11" max="11" width="14.63"/>
  </cols>
  <sheetData>
    <row r="1">
      <c r="B1" s="1" t="s">
        <v>0</v>
      </c>
      <c r="C1" s="2">
        <f>COUNTIF(K6:K1003, "Pass")/counta(B6:B1003)</f>
        <v>0</v>
      </c>
      <c r="D1" s="3"/>
      <c r="E1" s="4" t="s">
        <v>1</v>
      </c>
      <c r="F1" s="5">
        <f>COUNTIF(K6:K1003, "Fail")/counta(B6:B1003)</f>
        <v>0</v>
      </c>
      <c r="G1" s="6" t="s">
        <v>2</v>
      </c>
      <c r="H1" s="7">
        <f>COUNTIF(K6:K1003, "Not Tested")/counta(B6:B1003)</f>
        <v>1</v>
      </c>
      <c r="I1" s="8"/>
    </row>
    <row r="2">
      <c r="B2" s="9"/>
      <c r="C2" s="10"/>
      <c r="D2" s="11"/>
      <c r="E2" s="9"/>
      <c r="F2" s="10"/>
      <c r="G2" s="9"/>
      <c r="H2" s="10"/>
      <c r="I2" s="12"/>
    </row>
    <row r="3">
      <c r="B3" s="13"/>
      <c r="C3" s="14"/>
      <c r="D3" s="15"/>
      <c r="E3" s="13"/>
      <c r="F3" s="14"/>
      <c r="G3" s="13"/>
      <c r="H3" s="14"/>
      <c r="I3" s="16"/>
    </row>
    <row r="5">
      <c r="B5" s="23" t="s">
        <v>3</v>
      </c>
      <c r="C5" s="23" t="s">
        <v>4</v>
      </c>
      <c r="D5" s="23" t="s">
        <v>5</v>
      </c>
      <c r="E5" s="23" t="s">
        <v>6</v>
      </c>
      <c r="F5" s="23" t="s">
        <v>7</v>
      </c>
      <c r="G5" s="23" t="s">
        <v>8</v>
      </c>
      <c r="H5" s="23" t="s">
        <v>9</v>
      </c>
      <c r="I5" s="23" t="s">
        <v>10</v>
      </c>
      <c r="J5" s="23" t="s">
        <v>11</v>
      </c>
      <c r="K5" s="17" t="s">
        <v>12</v>
      </c>
    </row>
    <row r="6">
      <c r="B6" s="24" t="s">
        <v>66</v>
      </c>
      <c r="C6" s="19" t="s">
        <v>67</v>
      </c>
      <c r="D6" s="24" t="s">
        <v>68</v>
      </c>
      <c r="E6" s="24" t="s">
        <v>69</v>
      </c>
      <c r="F6" s="24" t="s">
        <v>70</v>
      </c>
      <c r="G6" s="24" t="s">
        <v>71</v>
      </c>
      <c r="H6" s="20" t="s">
        <v>19</v>
      </c>
      <c r="I6" s="24" t="s">
        <v>20</v>
      </c>
      <c r="J6" s="24" t="s">
        <v>72</v>
      </c>
      <c r="K6" s="20" t="s">
        <v>2</v>
      </c>
    </row>
    <row r="7">
      <c r="B7" s="24" t="s">
        <v>73</v>
      </c>
      <c r="C7" s="21"/>
      <c r="D7" s="24" t="s">
        <v>74</v>
      </c>
      <c r="E7" s="24" t="s">
        <v>75</v>
      </c>
      <c r="F7" s="24" t="s">
        <v>76</v>
      </c>
      <c r="G7" s="24" t="s">
        <v>77</v>
      </c>
      <c r="H7" s="20" t="s">
        <v>19</v>
      </c>
      <c r="I7" s="24" t="s">
        <v>20</v>
      </c>
      <c r="J7" s="24" t="s">
        <v>78</v>
      </c>
      <c r="K7" s="20" t="s">
        <v>2</v>
      </c>
    </row>
    <row r="8">
      <c r="B8" s="24" t="s">
        <v>79</v>
      </c>
      <c r="C8" s="21"/>
      <c r="D8" s="24" t="s">
        <v>80</v>
      </c>
      <c r="E8" s="24" t="s">
        <v>75</v>
      </c>
      <c r="F8" s="24" t="s">
        <v>81</v>
      </c>
      <c r="G8" s="24" t="s">
        <v>82</v>
      </c>
      <c r="H8" s="20" t="s">
        <v>49</v>
      </c>
      <c r="I8" s="24" t="s">
        <v>20</v>
      </c>
      <c r="J8" s="24" t="s">
        <v>83</v>
      </c>
      <c r="K8" s="20" t="s">
        <v>2</v>
      </c>
    </row>
    <row r="9">
      <c r="B9" s="24" t="s">
        <v>84</v>
      </c>
      <c r="C9" s="21"/>
      <c r="D9" s="24" t="s">
        <v>85</v>
      </c>
      <c r="E9" s="24" t="s">
        <v>75</v>
      </c>
      <c r="F9" s="24" t="s">
        <v>86</v>
      </c>
      <c r="G9" s="24" t="s">
        <v>87</v>
      </c>
      <c r="H9" s="20" t="s">
        <v>49</v>
      </c>
      <c r="I9" s="24" t="s">
        <v>57</v>
      </c>
      <c r="J9" s="24" t="s">
        <v>88</v>
      </c>
      <c r="K9" s="20" t="s">
        <v>2</v>
      </c>
    </row>
    <row r="10">
      <c r="B10" s="24" t="s">
        <v>89</v>
      </c>
      <c r="C10" s="21"/>
      <c r="D10" s="24" t="s">
        <v>90</v>
      </c>
      <c r="E10" s="24" t="s">
        <v>75</v>
      </c>
      <c r="F10" s="24" t="s">
        <v>91</v>
      </c>
      <c r="G10" s="24" t="s">
        <v>87</v>
      </c>
      <c r="H10" s="20" t="s">
        <v>49</v>
      </c>
      <c r="I10" s="24" t="s">
        <v>50</v>
      </c>
      <c r="J10" s="24" t="s">
        <v>92</v>
      </c>
      <c r="K10" s="20" t="s">
        <v>2</v>
      </c>
    </row>
    <row r="11">
      <c r="B11" s="24" t="s">
        <v>93</v>
      </c>
      <c r="C11" s="21"/>
      <c r="D11" s="24" t="s">
        <v>94</v>
      </c>
      <c r="E11" s="24" t="s">
        <v>75</v>
      </c>
      <c r="F11" s="24" t="s">
        <v>95</v>
      </c>
      <c r="G11" s="24" t="s">
        <v>96</v>
      </c>
      <c r="H11" s="20" t="s">
        <v>19</v>
      </c>
      <c r="I11" s="24" t="s">
        <v>26</v>
      </c>
      <c r="J11" s="24" t="s">
        <v>97</v>
      </c>
      <c r="K11" s="20" t="s">
        <v>2</v>
      </c>
    </row>
    <row r="12">
      <c r="B12" s="24" t="s">
        <v>98</v>
      </c>
      <c r="C12" s="22"/>
      <c r="D12" s="24" t="s">
        <v>99</v>
      </c>
      <c r="E12" s="24" t="s">
        <v>75</v>
      </c>
      <c r="F12" s="24" t="s">
        <v>100</v>
      </c>
      <c r="G12" s="24" t="s">
        <v>87</v>
      </c>
      <c r="H12" s="20" t="s">
        <v>19</v>
      </c>
      <c r="I12" s="24" t="s">
        <v>50</v>
      </c>
      <c r="J12" s="24" t="s">
        <v>101</v>
      </c>
      <c r="K12" s="20" t="s">
        <v>2</v>
      </c>
    </row>
  </sheetData>
  <mergeCells count="7">
    <mergeCell ref="B1:B3"/>
    <mergeCell ref="E1:E3"/>
    <mergeCell ref="F1:F3"/>
    <mergeCell ref="C1:D3"/>
    <mergeCell ref="G1:G3"/>
    <mergeCell ref="H1:I3"/>
    <mergeCell ref="C6:C12"/>
  </mergeCells>
  <dataValidations>
    <dataValidation type="list" allowBlank="1" showErrorMessage="1" sqref="H6:H12">
      <formula1>"High,Low,Medium"</formula1>
    </dataValidation>
    <dataValidation type="list" allowBlank="1" showErrorMessage="1" sqref="K6:K12">
      <formula1>"Pass,Fail,Not Tested"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4" max="4" width="20.63"/>
    <col customWidth="1" min="5" max="5" width="23.13"/>
    <col customWidth="1" min="6" max="6" width="25.25"/>
    <col customWidth="1" min="7" max="7" width="17.25"/>
    <col customWidth="1" min="10" max="10" width="18.0"/>
    <col customWidth="1" min="11" max="11" width="15.88"/>
  </cols>
  <sheetData>
    <row r="1">
      <c r="B1" s="1" t="s">
        <v>0</v>
      </c>
      <c r="C1" s="2">
        <f>COUNTIF(K6:K1003, "Pass")/counta(B6:B1003)</f>
        <v>0</v>
      </c>
      <c r="D1" s="3"/>
      <c r="E1" s="4" t="s">
        <v>1</v>
      </c>
      <c r="F1" s="5">
        <f>COUNTIF(K6:K1003, "Fail")/counta(B6:B1003)</f>
        <v>0</v>
      </c>
      <c r="G1" s="6" t="s">
        <v>2</v>
      </c>
      <c r="H1" s="7">
        <f>COUNTIF(K6:K1003, "Not Tested")/counta(B6:B1003)</f>
        <v>1</v>
      </c>
      <c r="I1" s="8"/>
    </row>
    <row r="2">
      <c r="B2" s="9"/>
      <c r="C2" s="10"/>
      <c r="D2" s="11"/>
      <c r="E2" s="9"/>
      <c r="F2" s="10"/>
      <c r="G2" s="9"/>
      <c r="H2" s="10"/>
      <c r="I2" s="12"/>
    </row>
    <row r="3">
      <c r="B3" s="13"/>
      <c r="C3" s="14"/>
      <c r="D3" s="15"/>
      <c r="E3" s="13"/>
      <c r="F3" s="14"/>
      <c r="G3" s="13"/>
      <c r="H3" s="14"/>
      <c r="I3" s="16"/>
    </row>
    <row r="5">
      <c r="B5" s="23" t="s">
        <v>3</v>
      </c>
      <c r="C5" s="23" t="s">
        <v>4</v>
      </c>
      <c r="D5" s="23" t="s">
        <v>5</v>
      </c>
      <c r="E5" s="23" t="s">
        <v>6</v>
      </c>
      <c r="F5" s="23" t="s">
        <v>7</v>
      </c>
      <c r="G5" s="23" t="s">
        <v>8</v>
      </c>
      <c r="H5" s="23" t="s">
        <v>9</v>
      </c>
      <c r="I5" s="23" t="s">
        <v>10</v>
      </c>
      <c r="J5" s="23" t="s">
        <v>11</v>
      </c>
      <c r="K5" s="17" t="s">
        <v>12</v>
      </c>
    </row>
    <row r="6">
      <c r="B6" s="24" t="s">
        <v>102</v>
      </c>
      <c r="C6" s="19" t="s">
        <v>103</v>
      </c>
      <c r="D6" s="24" t="s">
        <v>104</v>
      </c>
      <c r="E6" s="24" t="s">
        <v>105</v>
      </c>
      <c r="F6" s="24" t="s">
        <v>106</v>
      </c>
      <c r="G6" s="24" t="s">
        <v>87</v>
      </c>
      <c r="H6" s="20" t="s">
        <v>19</v>
      </c>
      <c r="I6" s="24" t="s">
        <v>20</v>
      </c>
      <c r="J6" s="24" t="s">
        <v>107</v>
      </c>
      <c r="K6" s="20" t="s">
        <v>2</v>
      </c>
    </row>
    <row r="7">
      <c r="B7" s="24" t="s">
        <v>108</v>
      </c>
      <c r="C7" s="21"/>
      <c r="D7" s="24" t="s">
        <v>109</v>
      </c>
      <c r="E7" s="24" t="s">
        <v>110</v>
      </c>
      <c r="F7" s="24" t="s">
        <v>111</v>
      </c>
      <c r="G7" s="24" t="s">
        <v>87</v>
      </c>
      <c r="H7" s="20" t="s">
        <v>19</v>
      </c>
      <c r="I7" s="24" t="s">
        <v>20</v>
      </c>
      <c r="J7" s="24" t="s">
        <v>112</v>
      </c>
      <c r="K7" s="20" t="s">
        <v>2</v>
      </c>
    </row>
    <row r="8">
      <c r="B8" s="24" t="s">
        <v>113</v>
      </c>
      <c r="C8" s="21"/>
      <c r="D8" s="24" t="s">
        <v>114</v>
      </c>
      <c r="E8" s="24" t="s">
        <v>115</v>
      </c>
      <c r="F8" s="24" t="s">
        <v>116</v>
      </c>
      <c r="G8" s="24" t="s">
        <v>117</v>
      </c>
      <c r="H8" s="20" t="s">
        <v>49</v>
      </c>
      <c r="I8" s="24" t="s">
        <v>50</v>
      </c>
      <c r="J8" s="24" t="s">
        <v>118</v>
      </c>
      <c r="K8" s="20" t="s">
        <v>2</v>
      </c>
    </row>
    <row r="9">
      <c r="B9" s="24" t="s">
        <v>119</v>
      </c>
      <c r="C9" s="21"/>
      <c r="D9" s="24" t="s">
        <v>120</v>
      </c>
      <c r="E9" s="24" t="s">
        <v>121</v>
      </c>
      <c r="F9" s="24" t="s">
        <v>122</v>
      </c>
      <c r="G9" s="24" t="s">
        <v>87</v>
      </c>
      <c r="H9" s="20" t="s">
        <v>49</v>
      </c>
      <c r="I9" s="24" t="s">
        <v>50</v>
      </c>
      <c r="J9" s="24" t="s">
        <v>123</v>
      </c>
      <c r="K9" s="20" t="s">
        <v>2</v>
      </c>
    </row>
    <row r="10">
      <c r="B10" s="24" t="s">
        <v>124</v>
      </c>
      <c r="C10" s="22"/>
      <c r="D10" s="24" t="s">
        <v>125</v>
      </c>
      <c r="E10" s="24" t="s">
        <v>121</v>
      </c>
      <c r="F10" s="24" t="s">
        <v>126</v>
      </c>
      <c r="G10" s="24" t="s">
        <v>87</v>
      </c>
      <c r="H10" s="20" t="s">
        <v>49</v>
      </c>
      <c r="I10" s="24" t="s">
        <v>50</v>
      </c>
      <c r="J10" s="24" t="s">
        <v>127</v>
      </c>
      <c r="K10" s="20" t="s">
        <v>2</v>
      </c>
    </row>
  </sheetData>
  <mergeCells count="7">
    <mergeCell ref="B1:B3"/>
    <mergeCell ref="E1:E3"/>
    <mergeCell ref="F1:F3"/>
    <mergeCell ref="C1:D3"/>
    <mergeCell ref="G1:G3"/>
    <mergeCell ref="H1:I3"/>
    <mergeCell ref="C6:C10"/>
  </mergeCells>
  <dataValidations>
    <dataValidation type="list" allowBlank="1" showErrorMessage="1" sqref="H6:H10">
      <formula1>"High,Low,Medium"</formula1>
    </dataValidation>
    <dataValidation type="list" allowBlank="1" showErrorMessage="1" sqref="K6:K10">
      <formula1>"Pass,Fail,Not Tested"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11.0"/>
    <col customWidth="1" min="4" max="4" width="21.63"/>
    <col customWidth="1" min="6" max="6" width="25.0"/>
    <col customWidth="1" min="7" max="7" width="16.63"/>
    <col customWidth="1" min="8" max="8" width="13.13"/>
    <col customWidth="1" min="10" max="10" width="21.0"/>
    <col customWidth="1" min="11" max="11" width="17.5"/>
  </cols>
  <sheetData>
    <row r="1">
      <c r="B1" s="1" t="s">
        <v>0</v>
      </c>
      <c r="C1" s="2">
        <f>COUNTIF(K6:K1003, "Pass")/counta(B6:B1003)</f>
        <v>0</v>
      </c>
      <c r="D1" s="3"/>
      <c r="E1" s="4" t="s">
        <v>1</v>
      </c>
      <c r="F1" s="5">
        <f>COUNTIF(K6:K1003, "Fail")/counta(B6:B1003)</f>
        <v>0</v>
      </c>
      <c r="G1" s="6" t="s">
        <v>2</v>
      </c>
      <c r="H1" s="7">
        <f>COUNTIF(K6:K1003, "Not Tested")/counta(B6:B1003)</f>
        <v>1</v>
      </c>
      <c r="I1" s="8"/>
    </row>
    <row r="2">
      <c r="B2" s="9"/>
      <c r="C2" s="10"/>
      <c r="D2" s="11"/>
      <c r="E2" s="9"/>
      <c r="F2" s="10"/>
      <c r="G2" s="9"/>
      <c r="H2" s="10"/>
      <c r="I2" s="12"/>
    </row>
    <row r="3">
      <c r="B3" s="13"/>
      <c r="C3" s="14"/>
      <c r="D3" s="15"/>
      <c r="E3" s="13"/>
      <c r="F3" s="14"/>
      <c r="G3" s="13"/>
      <c r="H3" s="14"/>
      <c r="I3" s="16"/>
    </row>
    <row r="5">
      <c r="B5" s="23" t="s">
        <v>3</v>
      </c>
      <c r="C5" s="23" t="s">
        <v>4</v>
      </c>
      <c r="D5" s="23" t="s">
        <v>5</v>
      </c>
      <c r="E5" s="23" t="s">
        <v>6</v>
      </c>
      <c r="F5" s="23" t="s">
        <v>7</v>
      </c>
      <c r="G5" s="23" t="s">
        <v>8</v>
      </c>
      <c r="H5" s="23" t="s">
        <v>9</v>
      </c>
      <c r="I5" s="23" t="s">
        <v>10</v>
      </c>
      <c r="J5" s="23" t="s">
        <v>11</v>
      </c>
      <c r="K5" s="17" t="s">
        <v>12</v>
      </c>
    </row>
    <row r="6">
      <c r="B6" s="24" t="s">
        <v>128</v>
      </c>
      <c r="C6" s="19" t="s">
        <v>129</v>
      </c>
      <c r="D6" s="24" t="s">
        <v>130</v>
      </c>
      <c r="E6" s="24" t="s">
        <v>131</v>
      </c>
      <c r="F6" s="24" t="s">
        <v>132</v>
      </c>
      <c r="G6" s="24" t="s">
        <v>133</v>
      </c>
      <c r="H6" s="20" t="s">
        <v>19</v>
      </c>
      <c r="I6" s="24" t="s">
        <v>20</v>
      </c>
      <c r="J6" s="24" t="s">
        <v>134</v>
      </c>
      <c r="K6" s="20" t="s">
        <v>2</v>
      </c>
    </row>
    <row r="7">
      <c r="B7" s="24" t="s">
        <v>135</v>
      </c>
      <c r="C7" s="21"/>
      <c r="D7" s="24" t="s">
        <v>136</v>
      </c>
      <c r="E7" s="24" t="s">
        <v>137</v>
      </c>
      <c r="F7" s="24" t="s">
        <v>138</v>
      </c>
      <c r="G7" s="24" t="s">
        <v>133</v>
      </c>
      <c r="H7" s="20" t="s">
        <v>19</v>
      </c>
      <c r="I7" s="24" t="s">
        <v>20</v>
      </c>
      <c r="J7" s="24" t="s">
        <v>139</v>
      </c>
      <c r="K7" s="20" t="s">
        <v>2</v>
      </c>
    </row>
    <row r="8">
      <c r="B8" s="24" t="s">
        <v>140</v>
      </c>
      <c r="C8" s="21"/>
      <c r="D8" s="24" t="s">
        <v>141</v>
      </c>
      <c r="E8" s="24" t="s">
        <v>131</v>
      </c>
      <c r="F8" s="24" t="s">
        <v>142</v>
      </c>
      <c r="G8" s="24" t="s">
        <v>143</v>
      </c>
      <c r="H8" s="20" t="s">
        <v>19</v>
      </c>
      <c r="I8" s="24" t="s">
        <v>26</v>
      </c>
      <c r="J8" s="24" t="s">
        <v>32</v>
      </c>
      <c r="K8" s="20" t="s">
        <v>2</v>
      </c>
    </row>
    <row r="9">
      <c r="B9" s="24" t="s">
        <v>144</v>
      </c>
      <c r="C9" s="21"/>
      <c r="D9" s="24" t="s">
        <v>145</v>
      </c>
      <c r="E9" s="24" t="s">
        <v>131</v>
      </c>
      <c r="F9" s="24" t="s">
        <v>146</v>
      </c>
      <c r="G9" s="24" t="s">
        <v>147</v>
      </c>
      <c r="H9" s="20" t="s">
        <v>19</v>
      </c>
      <c r="I9" s="24" t="s">
        <v>26</v>
      </c>
      <c r="J9" s="24" t="s">
        <v>32</v>
      </c>
      <c r="K9" s="20" t="s">
        <v>2</v>
      </c>
    </row>
    <row r="10">
      <c r="B10" s="24" t="s">
        <v>148</v>
      </c>
      <c r="C10" s="21"/>
      <c r="D10" s="24" t="s">
        <v>149</v>
      </c>
      <c r="E10" s="24" t="s">
        <v>131</v>
      </c>
      <c r="F10" s="24" t="s">
        <v>150</v>
      </c>
      <c r="G10" s="24" t="s">
        <v>151</v>
      </c>
      <c r="H10" s="20" t="s">
        <v>19</v>
      </c>
      <c r="I10" s="24" t="s">
        <v>26</v>
      </c>
      <c r="J10" s="24" t="s">
        <v>32</v>
      </c>
      <c r="K10" s="20" t="s">
        <v>2</v>
      </c>
    </row>
    <row r="11">
      <c r="B11" s="24" t="s">
        <v>152</v>
      </c>
      <c r="C11" s="21"/>
      <c r="D11" s="24" t="s">
        <v>153</v>
      </c>
      <c r="E11" s="24" t="s">
        <v>131</v>
      </c>
      <c r="F11" s="24" t="s">
        <v>154</v>
      </c>
      <c r="G11" s="24" t="s">
        <v>155</v>
      </c>
      <c r="H11" s="20" t="s">
        <v>19</v>
      </c>
      <c r="I11" s="24" t="s">
        <v>26</v>
      </c>
      <c r="J11" s="24" t="s">
        <v>156</v>
      </c>
      <c r="K11" s="20" t="s">
        <v>2</v>
      </c>
    </row>
    <row r="12">
      <c r="B12" s="24" t="s">
        <v>157</v>
      </c>
      <c r="C12" s="21"/>
      <c r="D12" s="24" t="s">
        <v>158</v>
      </c>
      <c r="E12" s="24" t="s">
        <v>159</v>
      </c>
      <c r="F12" s="24" t="s">
        <v>160</v>
      </c>
      <c r="G12" s="24" t="s">
        <v>117</v>
      </c>
      <c r="H12" s="20" t="s">
        <v>19</v>
      </c>
      <c r="I12" s="24" t="s">
        <v>161</v>
      </c>
      <c r="J12" s="24" t="s">
        <v>162</v>
      </c>
      <c r="K12" s="20" t="s">
        <v>2</v>
      </c>
    </row>
    <row r="13">
      <c r="B13" s="24" t="s">
        <v>163</v>
      </c>
      <c r="C13" s="21"/>
      <c r="D13" s="24" t="s">
        <v>164</v>
      </c>
      <c r="E13" s="24" t="s">
        <v>165</v>
      </c>
      <c r="F13" s="24" t="s">
        <v>166</v>
      </c>
      <c r="G13" s="24" t="s">
        <v>63</v>
      </c>
      <c r="H13" s="20" t="s">
        <v>19</v>
      </c>
      <c r="I13" s="24" t="s">
        <v>64</v>
      </c>
      <c r="J13" s="24" t="s">
        <v>65</v>
      </c>
      <c r="K13" s="20" t="s">
        <v>2</v>
      </c>
    </row>
    <row r="14">
      <c r="B14" s="24" t="s">
        <v>167</v>
      </c>
      <c r="C14" s="21"/>
      <c r="D14" s="24" t="s">
        <v>168</v>
      </c>
      <c r="E14" s="24" t="s">
        <v>169</v>
      </c>
      <c r="F14" s="24" t="s">
        <v>168</v>
      </c>
      <c r="G14" s="24" t="s">
        <v>133</v>
      </c>
      <c r="H14" s="20" t="s">
        <v>49</v>
      </c>
      <c r="I14" s="24" t="s">
        <v>50</v>
      </c>
      <c r="J14" s="24" t="s">
        <v>170</v>
      </c>
      <c r="K14" s="20" t="s">
        <v>2</v>
      </c>
    </row>
    <row r="15">
      <c r="B15" s="24" t="s">
        <v>171</v>
      </c>
      <c r="C15" s="22"/>
      <c r="D15" s="24" t="s">
        <v>172</v>
      </c>
      <c r="E15" s="24" t="s">
        <v>173</v>
      </c>
      <c r="F15" s="24" t="s">
        <v>174</v>
      </c>
      <c r="G15" s="24" t="s">
        <v>63</v>
      </c>
      <c r="H15" s="20" t="s">
        <v>49</v>
      </c>
      <c r="I15" s="24" t="s">
        <v>20</v>
      </c>
      <c r="J15" s="24" t="s">
        <v>175</v>
      </c>
      <c r="K15" s="20" t="s">
        <v>2</v>
      </c>
    </row>
  </sheetData>
  <mergeCells count="7">
    <mergeCell ref="B1:B3"/>
    <mergeCell ref="E1:E3"/>
    <mergeCell ref="F1:F3"/>
    <mergeCell ref="C1:D3"/>
    <mergeCell ref="G1:G3"/>
    <mergeCell ref="H1:I3"/>
    <mergeCell ref="C6:C15"/>
  </mergeCells>
  <dataValidations>
    <dataValidation type="list" allowBlank="1" showErrorMessage="1" sqref="H6:H15">
      <formula1>"High,Low,Medium"</formula1>
    </dataValidation>
    <dataValidation type="list" allowBlank="1" showErrorMessage="1" sqref="K6:K15">
      <formula1>"Pass,Fail,Not Tested"</formula1>
    </dataValidation>
  </dataValidations>
  <drawing r:id="rId1"/>
</worksheet>
</file>